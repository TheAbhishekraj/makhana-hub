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ivation Model" sheetId="1" state="visible" r:id="rId1"/>
    <sheet xmlns:r="http://schemas.openxmlformats.org/officeDocument/2006/relationships" name="Processing Ledger Y1" sheetId="2" state="visible" r:id="rId2"/>
    <sheet xmlns:r="http://schemas.openxmlformats.org/officeDocument/2006/relationships" name="5-Ton Scale CAPEX OPEX" sheetId="3" state="visible" r:id="rId3"/>
    <sheet xmlns:r="http://schemas.openxmlformats.org/officeDocument/2006/relationships" name="IFS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8F9FA"/>
        <bgColor rgb="00F8F9FA"/>
      </patternFill>
    </fill>
    <fill>
      <patternFill patternType="solid">
        <fgColor rgb="00D8F3DC"/>
        <bgColor rgb="00D8F3DC"/>
      </patternFill>
    </fill>
    <fill>
      <patternFill patternType="solid">
        <fgColor rgb="00FEFAE0"/>
        <bgColor rgb="00FEFAE0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4" fontId="4" fillId="3" borderId="1" pivotButton="0" quotePrefix="0" xfId="0"/>
    <xf numFmtId="0" fontId="4" fillId="4" borderId="2" applyAlignment="1" pivotButton="0" quotePrefix="0" xfId="0">
      <alignment horizontal="left" vertical="center"/>
    </xf>
    <xf numFmtId="0" fontId="0" fillId="4" borderId="2" pivotButton="0" quotePrefix="0" xfId="0"/>
    <xf numFmtId="164" fontId="4" fillId="4" borderId="2" applyAlignment="1" pivotButton="0" quotePrefix="0" xfId="0">
      <alignment horizontal="right" vertical="center"/>
    </xf>
    <xf numFmtId="0" fontId="4" fillId="4" borderId="2" pivotButton="0" quotePrefix="0" xfId="0"/>
    <xf numFmtId="164" fontId="4" fillId="4" borderId="2" pivotButton="0" quotePrefix="0" xfId="0"/>
    <xf numFmtId="0" fontId="2" fillId="2" borderId="0" pivotButton="0" quotePrefix="0" xfId="0"/>
    <xf numFmtId="0" fontId="4" fillId="5" borderId="2" pivotButton="0" quotePrefix="0" xfId="0"/>
    <xf numFmtId="0" fontId="0" fillId="5" borderId="2" pivotButton="0" quotePrefix="0" xfId="0"/>
    <xf numFmtId="164" fontId="4" fillId="5" borderId="2" pivotButton="0" quotePrefix="0" xfId="0"/>
    <xf numFmtId="0" fontId="4" fillId="0" borderId="1" pivotButton="0" quotePrefix="0" xfId="0"/>
    <xf numFmtId="3" fontId="3" fillId="0" borderId="1" pivotButton="0" quotePrefix="0" xfId="0"/>
    <xf numFmtId="3" fontId="4" fillId="0" borderId="1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22" customWidth="1" min="4" max="4"/>
  </cols>
  <sheetData>
    <row r="1" ht="20" customHeight="1">
      <c r="A1" s="1" t="inlineStr">
        <is>
          <t>1-Hectare Field-Based Cultivation Model (Swarna Vaidehi)</t>
        </is>
      </c>
    </row>
    <row r="2" ht="20" customHeight="1"/>
    <row r="3"/>
    <row r="4" ht="24" customHeight="1">
      <c r="A4" s="2" t="inlineStr">
        <is>
          <t>Operational / Input Item</t>
        </is>
      </c>
      <c r="B4" s="2" t="inlineStr">
        <is>
          <t>Quantity / Specifications</t>
        </is>
      </c>
      <c r="C4" s="2" t="inlineStr">
        <is>
          <t>Unit Cost (INR)</t>
        </is>
      </c>
      <c r="D4" s="2" t="inlineStr">
        <is>
          <t>Total Cost (INR)</t>
        </is>
      </c>
    </row>
    <row r="5" ht="20" customHeight="1">
      <c r="A5" s="3" t="inlineStr">
        <is>
          <t>Land Lease (1 Year)</t>
        </is>
      </c>
      <c r="B5" s="3" t="inlineStr">
        <is>
          <t>Clayey soil bunded field</t>
        </is>
      </c>
      <c r="C5" s="4" t="n">
        <v>25000</v>
      </c>
      <c r="D5" s="5">
        <f>C5</f>
        <v/>
      </c>
    </row>
    <row r="6" ht="20" customHeight="1">
      <c r="A6" s="6" t="inlineStr">
        <is>
          <t>Field Preparation &amp; Perimeter Bunding</t>
        </is>
      </c>
      <c r="B6" s="6" t="inlineStr">
        <is>
          <t>Mechanical earth-moving + leveling (30-45 cm)</t>
        </is>
      </c>
      <c r="C6" s="7" t="n">
        <v>15000</v>
      </c>
      <c r="D6" s="8">
        <f>C6</f>
        <v/>
      </c>
    </row>
    <row r="7" ht="20" customHeight="1">
      <c r="A7" s="3" t="inlineStr">
        <is>
          <t>Nursery Setup &amp; Certified Seeds</t>
        </is>
      </c>
      <c r="B7" s="3" t="inlineStr">
        <is>
          <t>20 kg Euryale certified seed (Ponds require 90 kg)</t>
        </is>
      </c>
      <c r="C7" s="4" t="n">
        <v>8000</v>
      </c>
      <c r="D7" s="5">
        <f>C7</f>
        <v/>
      </c>
    </row>
    <row r="8" ht="20" customHeight="1">
      <c r="A8" s="6" t="inlineStr">
        <is>
          <t>Nutrition Regimen (NPK + Micro-nutrients)</t>
        </is>
      </c>
      <c r="B8" s="6" t="inlineStr">
        <is>
          <t>NPK @ 100:60:40 + S(20kg), Zn(5kg), Mg(5kg), B(5kg)</t>
        </is>
      </c>
      <c r="C8" s="7" t="n">
        <v>12000</v>
      </c>
      <c r="D8" s="8">
        <f>C8</f>
        <v/>
      </c>
    </row>
    <row r="9" ht="20" customHeight="1">
      <c r="A9" s="3" t="inlineStr">
        <is>
          <t>IPM Protection &amp; Bio-agents Sourcing</t>
        </is>
      </c>
      <c r="B9" s="3" t="inlineStr">
        <is>
          <t>Metarhizium anisopliae + Chlorantraniliprole/Neem</t>
        </is>
      </c>
      <c r="C9" s="4" t="n">
        <v>5000</v>
      </c>
      <c r="D9" s="5">
        <f>C9</f>
        <v/>
      </c>
    </row>
    <row r="10" ht="20" customHeight="1">
      <c r="A10" s="6" t="inlineStr">
        <is>
          <t>Field Labor mandays</t>
        </is>
      </c>
      <c r="B10" s="6" t="inlineStr">
        <is>
          <t>75 Mandays @ Rs. 600 (Transplanting/Harvesting)</t>
        </is>
      </c>
      <c r="C10" s="7" t="n">
        <v>45000</v>
      </c>
      <c r="D10" s="8">
        <f>C10</f>
        <v/>
      </c>
    </row>
    <row r="11" ht="20" customHeight="1">
      <c r="A11" s="3" t="inlineStr">
        <is>
          <t>Irrigation Water &amp; Pump Fuel</t>
        </is>
      </c>
      <c r="B11" s="3" t="inlineStr">
        <is>
          <t>Diesel replenishment during summer dry spells</t>
        </is>
      </c>
      <c r="C11" s="4" t="n">
        <v>10000</v>
      </c>
      <c r="D11" s="5">
        <f>C11</f>
        <v/>
      </c>
    </row>
    <row r="12">
      <c r="A12" s="9" t="inlineStr">
        <is>
          <t>Total Cultivation OPEX</t>
        </is>
      </c>
      <c r="B12" s="10" t="n"/>
      <c r="C12" s="10" t="n"/>
      <c r="D12" s="11">
        <f>SUM(D5:D11)</f>
        <v/>
      </c>
    </row>
    <row r="13"/>
    <row r="14"/>
    <row r="15">
      <c r="A15" s="1" t="inlineStr">
        <is>
          <t>Operational Yield &amp; Revenue Generation</t>
        </is>
      </c>
    </row>
    <row r="16"/>
    <row r="17"/>
    <row r="18">
      <c r="A18" s="2" t="inlineStr">
        <is>
          <t>Output Product</t>
        </is>
      </c>
      <c r="B18" s="2" t="inlineStr">
        <is>
          <t>Yield Volume (Kg)</t>
        </is>
      </c>
      <c r="C18" s="2" t="inlineStr">
        <is>
          <t>Rate per Kg (INR)</t>
        </is>
      </c>
      <c r="D18" s="2" t="inlineStr">
        <is>
          <t>Total Revenue (INR)</t>
        </is>
      </c>
    </row>
    <row r="19">
      <c r="A19" s="3" t="inlineStr">
        <is>
          <t>Raw Makhana Seeds (Swarna Vaidehi)</t>
        </is>
      </c>
      <c r="B19" s="3" t="n">
        <v>2800</v>
      </c>
      <c r="C19" s="3" t="n">
        <v>150</v>
      </c>
      <c r="D19" s="5">
        <f>B19*C19</f>
        <v/>
      </c>
    </row>
    <row r="20">
      <c r="A20" s="9" t="inlineStr">
        <is>
          <t>Net Cultivator Profit per Hectare</t>
        </is>
      </c>
      <c r="B20" s="10" t="n"/>
      <c r="C20" s="10" t="n"/>
      <c r="D20" s="11">
        <f>D19-D12</f>
        <v/>
      </c>
    </row>
  </sheetData>
  <mergeCells count="2">
    <mergeCell ref="A1:D2"/>
    <mergeCell ref="A15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1" customWidth="1" min="3" max="3"/>
    <col width="23" customWidth="1" min="4" max="4"/>
    <col width="16" customWidth="1" min="5" max="5"/>
  </cols>
  <sheetData>
    <row r="1">
      <c r="A1" s="1" t="inlineStr">
        <is>
          <t>Year-1 Bootstrapped Processing Ledger (30 Tons Raw Seeds)</t>
        </is>
      </c>
    </row>
    <row r="2"/>
    <row r="3"/>
    <row r="4" ht="24" customHeight="1">
      <c r="A4" s="2" t="inlineStr">
        <is>
          <t>Operational Component</t>
        </is>
      </c>
      <c r="B4" s="2" t="inlineStr">
        <is>
          <t>Description / Details</t>
        </is>
      </c>
      <c r="C4" s="2" t="inlineStr">
        <is>
          <t>Volume / Metric</t>
        </is>
      </c>
      <c r="D4" s="2" t="inlineStr">
        <is>
          <t>Rate / Price</t>
        </is>
      </c>
      <c r="E4" s="2" t="inlineStr">
        <is>
          <t>Amount (INR)</t>
        </is>
      </c>
    </row>
    <row r="5" ht="20" customHeight="1">
      <c r="A5" s="3" t="inlineStr">
        <is>
          <t>Raw Seed Procurement</t>
        </is>
      </c>
      <c r="B5" s="3" t="inlineStr">
        <is>
          <t>30 Tons direct buyback at farm gate</t>
        </is>
      </c>
      <c r="C5" s="3" t="n">
        <v>30000</v>
      </c>
      <c r="D5" s="3" t="n">
        <v>130</v>
      </c>
      <c r="E5" s="5">
        <f>C5*D5</f>
        <v/>
      </c>
    </row>
    <row r="6" ht="20" customHeight="1">
      <c r="A6" s="6" t="inlineStr">
        <is>
          <t>Primary Drying &amp; Grading</t>
        </is>
      </c>
      <c r="B6" s="6" t="inlineStr">
        <is>
          <t>Sorting into size classes at centers</t>
        </is>
      </c>
      <c r="C6" s="6" t="n">
        <v>150</v>
      </c>
      <c r="D6" s="6" t="n">
        <v>800</v>
      </c>
      <c r="E6" s="8">
        <f>C6*D6</f>
        <v/>
      </c>
    </row>
    <row r="7" ht="20" customHeight="1">
      <c r="A7" s="3" t="inlineStr">
        <is>
          <t>Logistics &amp; Transport</t>
        </is>
      </c>
      <c r="B7" s="3" t="inlineStr">
        <is>
          <t>Hired small transport to clusters</t>
        </is>
      </c>
      <c r="C7" s="3" t="n">
        <v>1</v>
      </c>
      <c r="D7" s="3" t="n">
        <v>150000</v>
      </c>
      <c r="E7" s="5">
        <f>C7*D7</f>
        <v/>
      </c>
    </row>
    <row r="8" ht="20" customHeight="1">
      <c r="A8" s="6" t="inlineStr">
        <is>
          <t>Manual Popping Job-Work</t>
        </is>
      </c>
      <c r="B8" s="6" t="inlineStr">
        <is>
          <t>39% weight recovery popping fee</t>
        </is>
      </c>
      <c r="C8" s="6" t="n">
        <v>11700</v>
      </c>
      <c r="D8" s="6" t="n">
        <v>35</v>
      </c>
      <c r="E8" s="8">
        <f>C8*D8</f>
        <v/>
      </c>
    </row>
    <row r="9" ht="20" customHeight="1">
      <c r="A9" s="3" t="inlineStr">
        <is>
          <t>Packaging &amp; Branding</t>
        </is>
      </c>
      <c r="B9" s="3" t="inlineStr">
        <is>
          <t>Nitrogen flushed custom pouches</t>
        </is>
      </c>
      <c r="C9" s="3" t="n">
        <v>46800</v>
      </c>
      <c r="D9" s="3" t="n">
        <v>2.56</v>
      </c>
      <c r="E9" s="5">
        <f>C9*D9</f>
        <v/>
      </c>
    </row>
    <row r="10" ht="20" customHeight="1">
      <c r="A10" s="6" t="inlineStr">
        <is>
          <t>Hub Overhead / Rent</t>
        </is>
      </c>
      <c r="B10" s="6" t="inlineStr">
        <is>
          <t>Warehouse rent &amp; general overheads</t>
        </is>
      </c>
      <c r="C10" s="6" t="n">
        <v>12</v>
      </c>
      <c r="D10" s="6" t="n">
        <v>12500</v>
      </c>
      <c r="E10" s="8">
        <f>C10*D10</f>
        <v/>
      </c>
    </row>
    <row r="11">
      <c r="A11" s="12" t="inlineStr">
        <is>
          <t>Total Processing &amp; Sourcing OPEX</t>
        </is>
      </c>
      <c r="B11" s="10" t="n"/>
      <c r="C11" s="10" t="n"/>
      <c r="D11" s="10" t="n"/>
      <c r="E11" s="13">
        <f>SUM(E5:E10)</f>
        <v/>
      </c>
    </row>
    <row r="12"/>
    <row r="13"/>
    <row r="14">
      <c r="A14" s="1" t="inlineStr">
        <is>
          <t>Hub Popping Revenue &amp; Yield Outputs</t>
        </is>
      </c>
    </row>
    <row r="15"/>
    <row r="16"/>
    <row r="17">
      <c r="A17" s="14" t="inlineStr">
        <is>
          <t>Popped Product Grade</t>
        </is>
      </c>
      <c r="B17" s="14" t="inlineStr">
        <is>
          <t>Output specifications</t>
        </is>
      </c>
      <c r="C17" s="14" t="inlineStr">
        <is>
          <t>Quantity Sold (Kg)</t>
        </is>
      </c>
      <c r="D17" s="14" t="inlineStr">
        <is>
          <t>Wholesale Price / Kg</t>
        </is>
      </c>
      <c r="E17" s="14" t="inlineStr">
        <is>
          <t>Total Revenue</t>
        </is>
      </c>
    </row>
    <row r="18" ht="20" customHeight="1">
      <c r="A18" s="6" t="inlineStr">
        <is>
          <t>Premium Popped (Grade-A)</t>
        </is>
      </c>
      <c r="B18" s="6" t="inlineStr">
        <is>
          <t>Fully popped premium kernels (&gt; 1.2 cm)</t>
        </is>
      </c>
      <c r="C18" s="6" t="n">
        <v>8000</v>
      </c>
      <c r="D18" s="6" t="n">
        <v>550</v>
      </c>
      <c r="E18" s="8">
        <f>C18*D18</f>
        <v/>
      </c>
    </row>
    <row r="19" ht="20" customHeight="1">
      <c r="A19" s="3" t="inlineStr">
        <is>
          <t>Standard Popped (Grade-B)</t>
        </is>
      </c>
      <c r="B19" s="3" t="inlineStr">
        <is>
          <t>Perfect popping standard sizing (0.9-1.2 cm)</t>
        </is>
      </c>
      <c r="C19" s="3" t="n">
        <v>3000</v>
      </c>
      <c r="D19" s="3" t="n">
        <v>400</v>
      </c>
      <c r="E19" s="5">
        <f>C19*D19</f>
        <v/>
      </c>
    </row>
    <row r="20" ht="20" customHeight="1">
      <c r="A20" s="6" t="inlineStr">
        <is>
          <t>Broken Makhana / Phulla</t>
        </is>
      </c>
      <c r="B20" s="6" t="inlineStr">
        <is>
          <t>Secondary sorting sold for weaning flour</t>
        </is>
      </c>
      <c r="C20" s="6" t="n">
        <v>700</v>
      </c>
      <c r="D20" s="6" t="n">
        <v>200</v>
      </c>
      <c r="E20" s="8">
        <f>C20*D20</f>
        <v/>
      </c>
    </row>
    <row r="21" ht="20" customHeight="1">
      <c r="A21" s="3" t="inlineStr">
        <is>
          <t>Makhana Shell Waste</t>
        </is>
      </c>
      <c r="B21" s="3" t="inlineStr">
        <is>
          <t>Mulching &amp; industrial biomass fuel waste</t>
        </is>
      </c>
      <c r="C21" s="3" t="n">
        <v>18000</v>
      </c>
      <c r="D21" s="3" t="n">
        <v>3</v>
      </c>
      <c r="E21" s="5">
        <f>C21*D21</f>
        <v/>
      </c>
    </row>
    <row r="22">
      <c r="A22" s="12" t="inlineStr">
        <is>
          <t>Total Hub Revenue</t>
        </is>
      </c>
      <c r="B22" s="10" t="n"/>
      <c r="C22" s="10" t="n"/>
      <c r="D22" s="10" t="n"/>
      <c r="E22" s="13">
        <f>SUM(E18:E21)</f>
        <v/>
      </c>
    </row>
    <row r="23">
      <c r="A23" s="15" t="inlineStr">
        <is>
          <t>Net Hub Processing Profit (Year 1)</t>
        </is>
      </c>
      <c r="B23" s="16" t="n"/>
      <c r="C23" s="16" t="n"/>
      <c r="D23" s="16" t="n"/>
      <c r="E23" s="17">
        <f>E22-E11</f>
        <v/>
      </c>
    </row>
  </sheetData>
  <mergeCells count="2">
    <mergeCell ref="A14:E15"/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3" customWidth="1" min="3" max="3"/>
  </cols>
  <sheetData>
    <row r="1">
      <c r="A1" s="1" t="inlineStr">
        <is>
          <t>5-Ton Fully Mechanized Scaling Phase (Year 3 Onwards)</t>
        </is>
      </c>
    </row>
    <row r="2"/>
    <row r="3"/>
    <row r="4">
      <c r="A4" s="14" t="inlineStr">
        <is>
          <t>Initial CAPEX Machinery &amp; Infrastructure</t>
        </is>
      </c>
      <c r="B4" s="14" t="inlineStr">
        <is>
          <t>Technical Specifications</t>
        </is>
      </c>
      <c r="C4" s="14" t="inlineStr">
        <is>
          <t>Cost (INR)</t>
        </is>
      </c>
    </row>
    <row r="5" ht="20" customHeight="1">
      <c r="A5" s="3" t="inlineStr">
        <is>
          <t>Secondary Roasting &amp; Popping Machine</t>
        </is>
      </c>
      <c r="B5" s="3" t="inlineStr">
        <is>
          <t>Impact popping at 270 °C (25-30 kg/h)</t>
        </is>
      </c>
      <c r="C5" s="5" t="n">
        <v>800000</v>
      </c>
    </row>
    <row r="6" ht="20" customHeight="1">
      <c r="A6" s="6" t="inlineStr">
        <is>
          <t>Primary Roasting Machine</t>
        </is>
      </c>
      <c r="B6" s="6" t="inlineStr">
        <is>
          <t>Roasts seeds at 270 °C for 3-5 mins (100 kg/h)</t>
        </is>
      </c>
      <c r="C6" s="8" t="n">
        <v>140000</v>
      </c>
    </row>
    <row r="7" ht="20" customHeight="1">
      <c r="A7" s="3" t="inlineStr">
        <is>
          <t>Rotary Nested Grader</t>
        </is>
      </c>
      <c r="B7" s="3" t="inlineStr">
        <is>
          <t>Separates raw seeds into 7 size classes (180 kg/h)</t>
        </is>
      </c>
      <c r="C7" s="5" t="n">
        <v>250000</v>
      </c>
    </row>
    <row r="8" ht="20" customHeight="1">
      <c r="A8" s="6" t="inlineStr">
        <is>
          <t>Makhana Seed Washer</t>
        </is>
      </c>
      <c r="B8" s="6" t="inlineStr">
        <is>
          <t>Cleans raw seeds by friction (120-180 kg/h)</t>
        </is>
      </c>
      <c r="C8" s="8" t="n">
        <v>160000</v>
      </c>
    </row>
    <row r="9" ht="20" customHeight="1">
      <c r="A9" s="3" t="inlineStr">
        <is>
          <t>Makhana Seed Grader</t>
        </is>
      </c>
      <c r="B9" s="3" t="inlineStr">
        <is>
          <t>Sand suction slurry sorting unit (0.5 t/h)</t>
        </is>
      </c>
      <c r="C9" s="5" t="n">
        <v>130000</v>
      </c>
    </row>
    <row r="10" ht="20" customHeight="1">
      <c r="A10" s="6" t="inlineStr">
        <is>
          <t>Cabinet Seed Dryer</t>
        </is>
      </c>
      <c r="B10" s="6" t="inlineStr">
        <is>
          <t>Temp range 30-220 °C (20-30 kg/h)</t>
        </is>
      </c>
      <c r="C10" s="8" t="n">
        <v>200000</v>
      </c>
    </row>
    <row r="11" ht="20" customHeight="1">
      <c r="A11" s="3" t="inlineStr">
        <is>
          <t>Popped Makhana Grader</t>
        </is>
      </c>
      <c r="B11" s="3" t="inlineStr">
        <is>
          <t>Sorts finished puffs into 7 size classes (100 kg/h)</t>
        </is>
      </c>
      <c r="C11" s="5" t="n">
        <v>200000</v>
      </c>
    </row>
    <row r="12" ht="20" customHeight="1">
      <c r="A12" s="6" t="inlineStr">
        <is>
          <t>Form, Fill &amp; Seal Packing Machine</t>
        </is>
      </c>
      <c r="B12" s="6" t="inlineStr">
        <is>
          <t>Multi-head weigher automatic packaging (6-8 t/d)</t>
        </is>
      </c>
      <c r="C12" s="8" t="n">
        <v>800000</v>
      </c>
    </row>
    <row r="13" ht="20" customHeight="1">
      <c r="A13" s="3" t="inlineStr">
        <is>
          <t>Makhana Polishing Unit</t>
        </is>
      </c>
      <c r="B13" s="3" t="inlineStr">
        <is>
          <t>Polishes pops for smooth texture</t>
        </is>
      </c>
      <c r="C13" s="5" t="n">
        <v>100000</v>
      </c>
    </row>
    <row r="14" ht="20" customHeight="1">
      <c r="A14" s="6" t="inlineStr">
        <is>
          <t>Warehouse Civil Works &amp; Drying Slab</t>
        </is>
      </c>
      <c r="B14" s="6" t="inlineStr">
        <is>
          <t>Concrete slab and dust-free sorting floor</t>
        </is>
      </c>
      <c r="C14" s="8" t="n">
        <v>1500000</v>
      </c>
    </row>
    <row r="15" ht="20" customHeight="1">
      <c r="A15" s="3" t="inlineStr">
        <is>
          <t>Solar Rooftop Micro-Grid</t>
        </is>
      </c>
      <c r="B15" s="3" t="inlineStr">
        <is>
          <t>15kW solar array with 10kW battery backup grid</t>
        </is>
      </c>
      <c r="C15" s="5" t="n">
        <v>500000</v>
      </c>
    </row>
    <row r="16">
      <c r="A16" s="12" t="inlineStr">
        <is>
          <t>Total Capital Required (CAPEX)</t>
        </is>
      </c>
      <c r="B16" s="10" t="n"/>
      <c r="C16" s="13">
        <f>SUM(C5:C15)</f>
        <v/>
      </c>
    </row>
    <row r="17"/>
    <row r="18"/>
    <row r="19">
      <c r="A19" s="1" t="inlineStr">
        <is>
          <t>Monthly Operational Expenditure (OPEX @ 25 Tons)</t>
        </is>
      </c>
    </row>
    <row r="20"/>
    <row r="21"/>
    <row r="22">
      <c r="A22" s="14" t="inlineStr">
        <is>
          <t>Monthly OPEX Input Category</t>
        </is>
      </c>
      <c r="B22" s="14" t="inlineStr">
        <is>
          <t>Activity Detail / Specification</t>
        </is>
      </c>
      <c r="C22" s="14" t="inlineStr">
        <is>
          <t>Cost per Month (INR)</t>
        </is>
      </c>
    </row>
    <row r="23" ht="20" customHeight="1">
      <c r="A23" s="3" t="inlineStr">
        <is>
          <t>Raw Material Sourcing</t>
        </is>
      </c>
      <c r="B23" s="3" t="inlineStr">
        <is>
          <t>25,000 kg seeds @ average Rs. 130/kg</t>
        </is>
      </c>
      <c r="C23" s="5" t="n">
        <v>3250000</v>
      </c>
    </row>
    <row r="24" ht="20" customHeight="1">
      <c r="A24" s="6" t="inlineStr">
        <is>
          <t>Plant Electricity &amp; Roaster Fuel (LDO)</t>
        </is>
      </c>
      <c r="B24" s="6" t="inlineStr">
        <is>
          <t>Combustion burners and automated air systems</t>
        </is>
      </c>
      <c r="C24" s="8" t="n">
        <v>45000</v>
      </c>
    </row>
    <row r="25" ht="20" customHeight="1">
      <c r="A25" s="3" t="inlineStr">
        <is>
          <t>Plant Factory Labor</t>
        </is>
      </c>
      <c r="B25" s="3" t="inlineStr">
        <is>
          <t>1 Supervisor, 2 operators, 6 sorting hands</t>
        </is>
      </c>
      <c r="C25" s="5" t="n">
        <v>120000</v>
      </c>
    </row>
    <row r="26" ht="20" customHeight="1">
      <c r="A26" s="6" t="inlineStr">
        <is>
          <t>Logistics &amp; National Freight</t>
        </is>
      </c>
      <c r="B26" s="6" t="inlineStr">
        <is>
          <t>Seed haulage + outward distribution logistics</t>
        </is>
      </c>
      <c r="C26" s="8" t="n">
        <v>100000</v>
      </c>
    </row>
    <row r="27" ht="20" customHeight="1">
      <c r="A27" s="3" t="inlineStr">
        <is>
          <t>Factory Maintenance &amp; Depreciation</t>
        </is>
      </c>
      <c r="B27" s="3" t="inlineStr">
        <is>
          <t>Equipment maintenance and backup fund reserves</t>
        </is>
      </c>
      <c r="C27" s="5" t="n">
        <v>35000</v>
      </c>
    </row>
    <row r="28" ht="20" customHeight="1">
      <c r="A28" s="6" t="inlineStr">
        <is>
          <t>Compliance, Marketing &amp; FSSAI</t>
        </is>
      </c>
      <c r="B28" s="6" t="inlineStr">
        <is>
          <t>Brand packaging + export safety compliance (FSSAI/EU)</t>
        </is>
      </c>
      <c r="C28" s="8" t="n">
        <v>50000</v>
      </c>
    </row>
    <row r="29">
      <c r="A29" s="12" t="inlineStr">
        <is>
          <t>Total Monthly Scaling OPEX</t>
        </is>
      </c>
      <c r="B29" s="10" t="n"/>
      <c r="C29" s="13">
        <f>SUM(C23:C28)</f>
        <v/>
      </c>
    </row>
  </sheetData>
  <mergeCells count="2">
    <mergeCell ref="A1:C2"/>
    <mergeCell ref="A19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1" t="inlineStr">
        <is>
          <t>Integrated Farming System (IFS) vs Monoculture Comparison</t>
        </is>
      </c>
    </row>
    <row r="2"/>
    <row r="3"/>
    <row r="4" ht="24" customHeight="1">
      <c r="A4" s="2" t="inlineStr">
        <is>
          <t>Comparison Metric / Yield Component</t>
        </is>
      </c>
      <c r="B4" s="2" t="inlineStr">
        <is>
          <t>Traditional Field Monoculture</t>
        </is>
      </c>
      <c r="C4" s="2" t="inlineStr">
        <is>
          <t>Makhana + Carps + Chestnut IFS</t>
        </is>
      </c>
    </row>
    <row r="5" ht="20" customHeight="1">
      <c r="A5" s="3" t="inlineStr">
        <is>
          <t>Water Depth Maintenance</t>
        </is>
      </c>
      <c r="B5" s="3" t="inlineStr">
        <is>
          <t>30 - 45 cm (Shallow)</t>
        </is>
      </c>
      <c r="C5" s="18" t="inlineStr">
        <is>
          <t>50 - 60 cm (For fish movement)</t>
        </is>
      </c>
    </row>
    <row r="6" ht="20" customHeight="1">
      <c r="A6" s="3" t="inlineStr">
        <is>
          <t>Primary Makhana Yield (Kg/Ha)</t>
        </is>
      </c>
      <c r="B6" s="19" t="n">
        <v>2800</v>
      </c>
      <c r="C6" s="20" t="n">
        <v>2600</v>
      </c>
    </row>
    <row r="7" ht="20" customHeight="1">
      <c r="A7" s="3" t="inlineStr">
        <is>
          <t>Carps Fish Yield (Kg/Ha)</t>
        </is>
      </c>
      <c r="B7" s="19" t="n">
        <v>0</v>
      </c>
      <c r="C7" s="20" t="n">
        <v>1200</v>
      </c>
    </row>
    <row r="8" ht="20" customHeight="1">
      <c r="A8" s="3" t="inlineStr">
        <is>
          <t>Water Chestnut Yield (Kg/Ha)</t>
        </is>
      </c>
      <c r="B8" s="19" t="n">
        <v>0</v>
      </c>
      <c r="C8" s="20" t="n">
        <v>3000</v>
      </c>
    </row>
    <row r="9" ht="20" customHeight="1">
      <c r="A9" s="3" t="inlineStr">
        <is>
          <t>Total Operational Cost (INR)</t>
        </is>
      </c>
      <c r="B9" s="4" t="n">
        <v>120000</v>
      </c>
      <c r="C9" s="5" t="n">
        <v>180000</v>
      </c>
    </row>
    <row r="10" ht="20" customHeight="1">
      <c r="A10" s="3" t="inlineStr">
        <is>
          <t>Total Gross Revenue (INR)</t>
        </is>
      </c>
      <c r="B10" s="4" t="n">
        <v>420000</v>
      </c>
      <c r="C10" s="5" t="n">
        <v>730000</v>
      </c>
    </row>
    <row r="11" ht="20" customHeight="1">
      <c r="A11" s="21" t="inlineStr">
        <is>
          <t>Net Farm Profit per Hectare (INR)</t>
        </is>
      </c>
      <c r="B11" s="13">
        <f>B10-B9</f>
        <v/>
      </c>
      <c r="C11" s="13">
        <f>C10-C9</f>
        <v/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2026-05-22T14:57:03Z</dcterms:created>
  <dcterms:modified xmlns:dcterms="http://purl.org/dc/terms/" xmlns:xsi="http://www.w3.org/2001/XMLSchema-instance" xsi:type="dcterms:W3CDTF">2026-05-22T14:57:03Z</dcterms:modified>
</cp:coreProperties>
</file>